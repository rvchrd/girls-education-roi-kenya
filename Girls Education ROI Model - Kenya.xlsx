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C7BE96D-BDD3-4367-8C28-9DA681E579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ssumptions" sheetId="4" r:id="rId1"/>
    <sheet name="Model " sheetId="2" r:id="rId2"/>
    <sheet name="Scenarios" sheetId="3" r:id="rId3"/>
    <sheet name="Summary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C4" i="3" s="1"/>
  <c r="D4" i="3" s="1"/>
  <c r="E4" i="3" s="1"/>
  <c r="B3" i="3"/>
  <c r="C3" i="3" s="1"/>
  <c r="D3" i="3" s="1"/>
  <c r="E3" i="3" s="1"/>
  <c r="B2" i="3"/>
  <c r="C2" i="3" s="1"/>
  <c r="D2" i="3" s="1"/>
  <c r="E2" i="3" s="1"/>
  <c r="B8" i="2"/>
  <c r="B7" i="2"/>
  <c r="B6" i="2"/>
  <c r="B5" i="2"/>
  <c r="B4" i="2"/>
  <c r="B3" i="2"/>
  <c r="B2" i="2"/>
  <c r="B44" i="2" l="1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<sst xmlns="http://schemas.openxmlformats.org/spreadsheetml/2006/main" count="53" uniqueCount="53">
  <si>
    <t>Assumptions </t>
  </si>
  <si>
    <t>Value </t>
  </si>
  <si>
    <t>Source/Notes</t>
  </si>
  <si>
    <t>Baseline annual income (no secondary, KES)</t>
  </si>
  <si>
    <t>Estimate - informal sector, refine w/ KNBS data</t>
  </si>
  <si>
    <t>Wage premium per year (base case)</t>
  </si>
  <si>
    <t>Psacharopoulos/World Bank global avg ~10%</t>
  </si>
  <si>
    <t>Wage premium per year (low case) </t>
  </si>
  <si>
    <t>Conservative estimate</t>
  </si>
  <si>
    <t>Wage premium per year (girls-specific, high)</t>
  </si>
  <si>
    <t>Bono/Citi development finance estimate</t>
  </si>
  <si>
    <t>Years of secondary school </t>
  </si>
  <si>
    <t>Standard Kenyan secondary cycle</t>
  </si>
  <si>
    <t>Working years </t>
  </si>
  <si>
    <t>Standard assumption</t>
  </si>
  <si>
    <t>Discount rate </t>
  </si>
  <si>
    <t>Standard DCF assumption</t>
  </si>
  <si>
    <t>Cost per year of secondary school (KES) </t>
  </si>
  <si>
    <t>Estimate - public day school, refine w/ MOE data</t>
  </si>
  <si>
    <t>Model</t>
  </si>
  <si>
    <t>Annual income with secondary (KES)</t>
  </si>
  <si>
    <t>Additional annual income (KES)</t>
  </si>
  <si>
    <t xml:space="preserve">Total cost of schooling (KES) </t>
  </si>
  <si>
    <t>Lifetime additional income, undiscounted (KES)</t>
  </si>
  <si>
    <t>Simple ROI (%)</t>
  </si>
  <si>
    <t xml:space="preserve">NPV of additional income stream (KES)          </t>
  </si>
  <si>
    <t xml:space="preserve">Discounted ROI (%)  </t>
  </si>
  <si>
    <t>Scenario</t>
  </si>
  <si>
    <t>Wage Premium </t>
  </si>
  <si>
    <t>Additional Income/yr (KES)</t>
  </si>
  <si>
    <t>NPV (KES)</t>
  </si>
  <si>
    <t>Discounted ROI (%)D</t>
  </si>
  <si>
    <t>Low </t>
  </si>
  <si>
    <t>Base </t>
  </si>
  <si>
    <t xml:space="preserve">High       </t>
  </si>
  <si>
    <t>Girls' Education ROI Model - Kenya</t>
  </si>
  <si>
    <t xml:space="preserve"> Rachael Richard | Columbia University</t>
  </si>
  <si>
    <t xml:space="preserve"> KEY FINDING</t>
  </si>
  <si>
    <t>Four years of girls' secondary education in rural Kenya generates a  373% discounted return on investment in the base case  rising to 485% under girls-specific wage premium assumptions.</t>
  </si>
  <si>
    <t xml:space="preserve">    </t>
  </si>
  <si>
    <t>SCENARIO RESULTS</t>
  </si>
  <si>
    <t xml:space="preserve">Scenario      </t>
  </si>
  <si>
    <t>Wage Premium</t>
  </si>
  <si>
    <t>Discounted ROI (%)</t>
  </si>
  <si>
    <t xml:space="preserve">Low       </t>
  </si>
  <si>
    <t xml:space="preserve"> Base          </t>
  </si>
  <si>
    <t xml:space="preserve">High          </t>
  </si>
  <si>
    <t xml:space="preserve"> METHODOLOGY NOTES</t>
  </si>
  <si>
    <t xml:space="preserve">Baseline income: KES 70,000/yr (rural informal sector estimate)
</t>
  </si>
  <si>
    <t>Total schooling cost: KES 80,000 (KES 20,000/yr × 4 years)</t>
  </si>
  <si>
    <t>Discount rate: 8% over 35-year working life</t>
  </si>
  <si>
    <t>Wage premium source: Psacharopoulos &amp; Patrinos (2018), Education 
     Economics 26(5)</t>
  </si>
  <si>
    <t xml:space="preserve">Kenya evidence: Ozier (2015), World Bank Policy Research WP 7384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</si>
</sst>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scheme val="minor"/>
    </font>
    <font>
      <sz val="12"/>
      <color rgb="FFC00000"/>
      <name val="Calibri"/>
    </font>
    <font>
      <sz val="12"/>
      <color rgb="FF000000"/>
      <name val="Calibri"/>
      <charset val="1"/>
    </font>
    <font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8" fontId="3" fillId="0" borderId="0" xfId="0" applyNumberFormat="1" applyFont="1"/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9" fontId="6" fillId="0" borderId="0" xfId="0" applyNumberFormat="1" applyFont="1"/>
    <xf numFmtId="0" fontId="3" fillId="3" borderId="0" xfId="0" applyFont="1" applyFill="1"/>
    <xf numFmtId="0" fontId="7" fillId="0" borderId="0" xfId="0" applyFont="1"/>
    <xf numFmtId="1" fontId="3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904D-761E-4B03-BD3B-B68A484D9689}">
  <dimension ref="A1:C13"/>
  <sheetViews>
    <sheetView tabSelected="1" topLeftCell="A2" workbookViewId="0">
      <selection activeCell="C13" sqref="C13"/>
    </sheetView>
  </sheetViews>
  <sheetFormatPr defaultRowHeight="15"/>
  <cols>
    <col min="1" max="1" width="26.28515625" customWidth="1"/>
    <col min="2" max="2" width="7.85546875" customWidth="1"/>
    <col min="3" max="3" width="59.7109375" customWidth="1"/>
  </cols>
  <sheetData>
    <row r="1" spans="1:3" ht="15.75">
      <c r="A1" s="2" t="s">
        <v>0</v>
      </c>
      <c r="B1" s="2" t="s">
        <v>1</v>
      </c>
      <c r="C1" s="2" t="s">
        <v>2</v>
      </c>
    </row>
    <row r="2" spans="1:3" ht="32.25">
      <c r="A2" s="3" t="s">
        <v>3</v>
      </c>
      <c r="B2" s="4">
        <v>70000</v>
      </c>
      <c r="C2" s="3" t="s">
        <v>4</v>
      </c>
    </row>
    <row r="3" spans="1:3" ht="32.25">
      <c r="A3" s="3" t="s">
        <v>5</v>
      </c>
      <c r="B3" s="4">
        <v>0.1</v>
      </c>
      <c r="C3" s="1" t="s">
        <v>6</v>
      </c>
    </row>
    <row r="4" spans="1:3" ht="32.25">
      <c r="A4" s="3" t="s">
        <v>7</v>
      </c>
      <c r="B4" s="4">
        <v>0.05</v>
      </c>
      <c r="C4" s="4" t="s">
        <v>8</v>
      </c>
    </row>
    <row r="5" spans="1:3" ht="32.25">
      <c r="A5" s="3" t="s">
        <v>9</v>
      </c>
      <c r="B5" s="4">
        <v>0.12</v>
      </c>
      <c r="C5" s="4" t="s">
        <v>10</v>
      </c>
    </row>
    <row r="6" spans="1:3" ht="16.5">
      <c r="A6" s="3" t="s">
        <v>11</v>
      </c>
      <c r="B6" s="4">
        <v>4</v>
      </c>
      <c r="C6" s="4" t="s">
        <v>12</v>
      </c>
    </row>
    <row r="7" spans="1:3" ht="15.75">
      <c r="A7" s="4" t="s">
        <v>13</v>
      </c>
      <c r="B7" s="4">
        <v>35</v>
      </c>
      <c r="C7" s="4" t="s">
        <v>14</v>
      </c>
    </row>
    <row r="8" spans="1:3" ht="15.75">
      <c r="A8" s="4" t="s">
        <v>15</v>
      </c>
      <c r="B8" s="4">
        <v>0.08</v>
      </c>
      <c r="C8" s="4" t="s">
        <v>16</v>
      </c>
    </row>
    <row r="9" spans="1:3" ht="32.25">
      <c r="A9" s="3" t="s">
        <v>17</v>
      </c>
      <c r="B9" s="4">
        <v>20000</v>
      </c>
      <c r="C9" s="4" t="s">
        <v>18</v>
      </c>
    </row>
    <row r="13" spans="1:3">
      <c r="C1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8D0-2A28-4A80-8E8E-75780B52856A}">
  <dimension ref="A1:B44"/>
  <sheetViews>
    <sheetView topLeftCell="A2" workbookViewId="0">
      <selection activeCell="E10" sqref="E10"/>
    </sheetView>
  </sheetViews>
  <sheetFormatPr defaultRowHeight="15.75"/>
  <cols>
    <col min="1" max="1" width="36.5703125" style="4" bestFit="1" customWidth="1"/>
    <col min="2" max="2" width="18.42578125" style="4" customWidth="1"/>
    <col min="3" max="16384" width="9.140625" style="4"/>
  </cols>
  <sheetData>
    <row r="1" spans="1:2">
      <c r="A1" s="2" t="s">
        <v>19</v>
      </c>
    </row>
    <row r="2" spans="1:2" ht="16.5">
      <c r="A2" s="3" t="s">
        <v>20</v>
      </c>
      <c r="B2" s="4">
        <f>Assumptions!B2*(1+Assumptions!B3)^Assumptions!B6</f>
        <v>102487.00000000003</v>
      </c>
    </row>
    <row r="3" spans="1:2">
      <c r="A3" s="4" t="s">
        <v>21</v>
      </c>
      <c r="B3" s="4">
        <f>B2-Assumptions!B2</f>
        <v>32487.000000000029</v>
      </c>
    </row>
    <row r="4" spans="1:2">
      <c r="A4" s="4" t="s">
        <v>22</v>
      </c>
      <c r="B4" s="4">
        <f>Assumptions!B9*Assumptions!B6</f>
        <v>80000</v>
      </c>
    </row>
    <row r="5" spans="1:2" ht="32.25">
      <c r="A5" s="3" t="s">
        <v>23</v>
      </c>
      <c r="B5" s="4">
        <f>B3*Assumptions!B7</f>
        <v>1137045.0000000009</v>
      </c>
    </row>
    <row r="6" spans="1:2">
      <c r="A6" s="4" t="s">
        <v>24</v>
      </c>
      <c r="B6" s="4">
        <f>(B5-B4)/B4*100</f>
        <v>1321.3062500000012</v>
      </c>
    </row>
    <row r="7" spans="1:2" ht="16.5">
      <c r="A7" s="3" t="s">
        <v>25</v>
      </c>
      <c r="B7" s="5">
        <f>NPV(Assumptions!B8,B10:B44)</f>
        <v>378621.95764154528</v>
      </c>
    </row>
    <row r="8" spans="1:2">
      <c r="A8" s="4" t="s">
        <v>26</v>
      </c>
      <c r="B8" s="5">
        <f>(B7-B4)/B4*100</f>
        <v>373.27744705193157</v>
      </c>
    </row>
    <row r="9" spans="1:2">
      <c r="B9" s="5"/>
    </row>
    <row r="10" spans="1:2">
      <c r="B10" s="4">
        <f>$B$3</f>
        <v>32487.000000000029</v>
      </c>
    </row>
    <row r="11" spans="1:2">
      <c r="B11" s="4">
        <f t="shared" ref="B11:B44" si="0">$B$3</f>
        <v>32487.000000000029</v>
      </c>
    </row>
    <row r="12" spans="1:2">
      <c r="B12" s="4">
        <f t="shared" si="0"/>
        <v>32487.000000000029</v>
      </c>
    </row>
    <row r="13" spans="1:2">
      <c r="B13" s="4">
        <f t="shared" si="0"/>
        <v>32487.000000000029</v>
      </c>
    </row>
    <row r="14" spans="1:2">
      <c r="B14" s="4">
        <f t="shared" si="0"/>
        <v>32487.000000000029</v>
      </c>
    </row>
    <row r="15" spans="1:2">
      <c r="B15" s="4">
        <f t="shared" si="0"/>
        <v>32487.000000000029</v>
      </c>
    </row>
    <row r="16" spans="1:2">
      <c r="B16" s="4">
        <f t="shared" si="0"/>
        <v>32487.000000000029</v>
      </c>
    </row>
    <row r="17" spans="2:2">
      <c r="B17" s="4">
        <f t="shared" si="0"/>
        <v>32487.000000000029</v>
      </c>
    </row>
    <row r="18" spans="2:2">
      <c r="B18" s="4">
        <f t="shared" si="0"/>
        <v>32487.000000000029</v>
      </c>
    </row>
    <row r="19" spans="2:2">
      <c r="B19" s="4">
        <f t="shared" si="0"/>
        <v>32487.000000000029</v>
      </c>
    </row>
    <row r="20" spans="2:2">
      <c r="B20" s="4">
        <f t="shared" si="0"/>
        <v>32487.000000000029</v>
      </c>
    </row>
    <row r="21" spans="2:2">
      <c r="B21" s="4">
        <f t="shared" si="0"/>
        <v>32487.000000000029</v>
      </c>
    </row>
    <row r="22" spans="2:2">
      <c r="B22" s="4">
        <f t="shared" si="0"/>
        <v>32487.000000000029</v>
      </c>
    </row>
    <row r="23" spans="2:2">
      <c r="B23" s="4">
        <f t="shared" si="0"/>
        <v>32487.000000000029</v>
      </c>
    </row>
    <row r="24" spans="2:2">
      <c r="B24" s="4">
        <f t="shared" si="0"/>
        <v>32487.000000000029</v>
      </c>
    </row>
    <row r="25" spans="2:2">
      <c r="B25" s="4">
        <f t="shared" si="0"/>
        <v>32487.000000000029</v>
      </c>
    </row>
    <row r="26" spans="2:2">
      <c r="B26" s="4">
        <f t="shared" si="0"/>
        <v>32487.000000000029</v>
      </c>
    </row>
    <row r="27" spans="2:2">
      <c r="B27" s="4">
        <f t="shared" si="0"/>
        <v>32487.000000000029</v>
      </c>
    </row>
    <row r="28" spans="2:2">
      <c r="B28" s="4">
        <f t="shared" si="0"/>
        <v>32487.000000000029</v>
      </c>
    </row>
    <row r="29" spans="2:2">
      <c r="B29" s="4">
        <f t="shared" si="0"/>
        <v>32487.000000000029</v>
      </c>
    </row>
    <row r="30" spans="2:2">
      <c r="B30" s="4">
        <f t="shared" si="0"/>
        <v>32487.000000000029</v>
      </c>
    </row>
    <row r="31" spans="2:2">
      <c r="B31" s="4">
        <f t="shared" si="0"/>
        <v>32487.000000000029</v>
      </c>
    </row>
    <row r="32" spans="2:2">
      <c r="B32" s="4">
        <f t="shared" si="0"/>
        <v>32487.000000000029</v>
      </c>
    </row>
    <row r="33" spans="2:2">
      <c r="B33" s="4">
        <f t="shared" si="0"/>
        <v>32487.000000000029</v>
      </c>
    </row>
    <row r="34" spans="2:2">
      <c r="B34" s="4">
        <f t="shared" si="0"/>
        <v>32487.000000000029</v>
      </c>
    </row>
    <row r="35" spans="2:2">
      <c r="B35" s="4">
        <f t="shared" si="0"/>
        <v>32487.000000000029</v>
      </c>
    </row>
    <row r="36" spans="2:2">
      <c r="B36" s="4">
        <f t="shared" si="0"/>
        <v>32487.000000000029</v>
      </c>
    </row>
    <row r="37" spans="2:2">
      <c r="B37" s="4">
        <f t="shared" si="0"/>
        <v>32487.000000000029</v>
      </c>
    </row>
    <row r="38" spans="2:2">
      <c r="B38" s="4">
        <f t="shared" si="0"/>
        <v>32487.000000000029</v>
      </c>
    </row>
    <row r="39" spans="2:2">
      <c r="B39" s="4">
        <f t="shared" si="0"/>
        <v>32487.000000000029</v>
      </c>
    </row>
    <row r="40" spans="2:2">
      <c r="B40" s="4">
        <f t="shared" si="0"/>
        <v>32487.000000000029</v>
      </c>
    </row>
    <row r="41" spans="2:2">
      <c r="B41" s="4">
        <f t="shared" si="0"/>
        <v>32487.000000000029</v>
      </c>
    </row>
    <row r="42" spans="2:2">
      <c r="B42" s="4">
        <f t="shared" si="0"/>
        <v>32487.000000000029</v>
      </c>
    </row>
    <row r="43" spans="2:2">
      <c r="B43" s="4">
        <f t="shared" si="0"/>
        <v>32487.000000000029</v>
      </c>
    </row>
    <row r="44" spans="2:2">
      <c r="B44" s="4">
        <f t="shared" si="0"/>
        <v>32487.000000000029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3AB0-FEC7-4E10-BC86-A6C6169D3422}">
  <dimension ref="A1:E4"/>
  <sheetViews>
    <sheetView workbookViewId="0">
      <selection activeCell="E16" sqref="E16"/>
    </sheetView>
  </sheetViews>
  <sheetFormatPr defaultRowHeight="15.75"/>
  <cols>
    <col min="1" max="1" width="10.140625" style="4" bestFit="1" customWidth="1"/>
    <col min="2" max="2" width="17.7109375" style="4" bestFit="1" customWidth="1"/>
    <col min="3" max="3" width="28.5703125" style="4" customWidth="1"/>
    <col min="4" max="4" width="9.7109375" style="4" customWidth="1"/>
    <col min="5" max="5" width="21.28515625" style="4" bestFit="1" customWidth="1"/>
    <col min="6" max="16384" width="9.140625" style="4"/>
  </cols>
  <sheetData>
    <row r="1" spans="1:5">
      <c r="A1" s="2" t="s">
        <v>27</v>
      </c>
      <c r="B1" s="2" t="s">
        <v>28</v>
      </c>
      <c r="C1" s="2" t="s">
        <v>29</v>
      </c>
      <c r="D1" s="13" t="s">
        <v>30</v>
      </c>
      <c r="E1" s="13" t="s">
        <v>31</v>
      </c>
    </row>
    <row r="2" spans="1:5">
      <c r="A2" s="4" t="s">
        <v>32</v>
      </c>
      <c r="B2" s="4">
        <f>Assumptions!B4</f>
        <v>0.05</v>
      </c>
      <c r="C2" s="14">
        <f>Assumptions!B2*(1+B2)^Assumptions!B6-Assumptions!B2</f>
        <v>15085.4375</v>
      </c>
      <c r="D2" s="4">
        <f>C2*((1-(1+Assumptions!B8)^-Assumptions!B7)/Assumptions!B8)</f>
        <v>175814.26041583333</v>
      </c>
      <c r="E2" s="14">
        <f>(D2-Assumptions!B9*Assumptions!B6)/(Assumptions!B9*Assumptions!B6)*100</f>
        <v>119.76782551979166</v>
      </c>
    </row>
    <row r="3" spans="1:5">
      <c r="A3" s="4" t="s">
        <v>33</v>
      </c>
      <c r="B3" s="4">
        <f>Assumptions!B3</f>
        <v>0.1</v>
      </c>
      <c r="C3" s="4">
        <f>Assumptions!B2*(1+B3)^Assumptions!B6-Assumptions!B2</f>
        <v>32487.000000000029</v>
      </c>
      <c r="D3" s="4">
        <f>C3*((1-(1+Assumptions!B8)^-Assumptions!B7)/Assumptions!B8)</f>
        <v>378621.95764154551</v>
      </c>
      <c r="E3" s="14">
        <f>(D3-Assumptions!B9*Assumptions!B6)/(Assumptions!B9*Assumptions!B6)*100</f>
        <v>373.27744705193186</v>
      </c>
    </row>
    <row r="4" spans="1:5">
      <c r="A4" s="4" t="s">
        <v>34</v>
      </c>
      <c r="B4" s="4">
        <f>Assumptions!B5</f>
        <v>0.12</v>
      </c>
      <c r="C4" s="14">
        <f>Assumptions!B2*(1+B4)^Assumptions!B6-Assumptions!B2</f>
        <v>40146.35520000002</v>
      </c>
      <c r="D4" s="4">
        <f>C4*((1-(1+Assumptions!B8)^-Assumptions!B7)/Assumptions!B8)</f>
        <v>467888.43531248911</v>
      </c>
      <c r="E4" s="14">
        <f>(D4-Assumptions!B9*Assumptions!B6)/(Assumptions!B9*Assumptions!B6)*100</f>
        <v>484.86054414061135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opLeftCell="A5" workbookViewId="0">
      <selection activeCell="A20" sqref="A20"/>
    </sheetView>
  </sheetViews>
  <sheetFormatPr defaultRowHeight="15.75"/>
  <cols>
    <col min="1" max="1" width="76.5703125" style="4" customWidth="1"/>
    <col min="2" max="2" width="18.140625" style="4" bestFit="1" customWidth="1"/>
    <col min="3" max="3" width="22.42578125" style="4" bestFit="1" customWidth="1"/>
    <col min="4" max="16384" width="9.140625" style="4"/>
  </cols>
  <sheetData>
    <row r="1" spans="1:3" ht="16.5">
      <c r="A1" s="6" t="s">
        <v>35</v>
      </c>
      <c r="B1" s="2"/>
      <c r="C1" s="2"/>
    </row>
    <row r="2" spans="1:3" ht="16.5">
      <c r="A2" s="3" t="s">
        <v>36</v>
      </c>
      <c r="C2" s="3"/>
    </row>
    <row r="3" spans="1:3">
      <c r="A3" s="3"/>
      <c r="C3" s="1"/>
    </row>
    <row r="4" spans="1:3" ht="16.5">
      <c r="A4" s="7" t="s">
        <v>37</v>
      </c>
    </row>
    <row r="5" spans="1:3" ht="48.75">
      <c r="A5" s="3" t="s">
        <v>38</v>
      </c>
    </row>
    <row r="6" spans="1:3" ht="16.5">
      <c r="A6" s="3" t="s">
        <v>39</v>
      </c>
    </row>
    <row r="7" spans="1:3" ht="16.5">
      <c r="A7" s="8" t="s">
        <v>40</v>
      </c>
    </row>
    <row r="8" spans="1:3" ht="16.5">
      <c r="A8" s="9" t="s">
        <v>41</v>
      </c>
      <c r="B8" s="10" t="s">
        <v>42</v>
      </c>
      <c r="C8" s="10" t="s">
        <v>43</v>
      </c>
    </row>
    <row r="9" spans="1:3" ht="16.5">
      <c r="A9" s="3" t="s">
        <v>44</v>
      </c>
      <c r="B9" s="11">
        <v>0.05</v>
      </c>
      <c r="C9" s="11">
        <v>1.2</v>
      </c>
    </row>
    <row r="10" spans="1:3">
      <c r="A10" s="4" t="s">
        <v>45</v>
      </c>
      <c r="B10" s="11">
        <v>0.1</v>
      </c>
      <c r="C10" s="11">
        <v>3.73</v>
      </c>
    </row>
    <row r="11" spans="1:3">
      <c r="A11" s="4" t="s">
        <v>46</v>
      </c>
      <c r="B11" s="11">
        <v>0.12</v>
      </c>
      <c r="C11" s="11">
        <v>4.8499999999999996</v>
      </c>
    </row>
    <row r="13" spans="1:3">
      <c r="A13" s="12" t="s">
        <v>47</v>
      </c>
    </row>
    <row r="14" spans="1:3" ht="32.25">
      <c r="A14" s="3" t="s">
        <v>48</v>
      </c>
    </row>
    <row r="15" spans="1:3">
      <c r="A15" s="4" t="s">
        <v>49</v>
      </c>
    </row>
    <row r="16" spans="1:3">
      <c r="A16" s="4" t="s">
        <v>50</v>
      </c>
    </row>
    <row r="17" spans="1:1" ht="32.25">
      <c r="A17" s="3" t="s">
        <v>51</v>
      </c>
    </row>
    <row r="18" spans="1:1" ht="32.25">
      <c r="A18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2026-06-13T18:11:16Z</dcterms:created>
  <dcterms:modified xsi:type="dcterms:W3CDTF">2026-06-16T00:14:14Z</dcterms:modified>
  <cp:category/>
  <cp:contentStatus/>
</cp:coreProperties>
</file>